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\OneDrive\Documents\Расчет НЗП\github-preview\NZP-Calc\pricing\"/>
    </mc:Choice>
  </mc:AlternateContent>
  <xr:revisionPtr revIDLastSave="0" documentId="13_ncr:1_{16EC3C20-9475-45DD-A43F-9DDD03941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сцен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1" l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26" i="1"/>
  <c r="E25" i="1"/>
</calcChain>
</file>

<file path=xl/sharedStrings.xml><?xml version="1.0" encoding="utf-8"?>
<sst xmlns="http://schemas.openxmlformats.org/spreadsheetml/2006/main" count="507" uniqueCount="263">
  <si>
    <t>Расценки: МонолитПроект · ДЕМО-002</t>
  </si>
  <si>
    <t>Демонстрационные данные. Заголовок таблицы расположен в строке 4.</t>
  </si>
  <si>
    <t>Код расценки</t>
  </si>
  <si>
    <t>Наименование</t>
  </si>
  <si>
    <t>Ед. изм.</t>
  </si>
  <si>
    <t>Валюта</t>
  </si>
  <si>
    <t>Базовая цена</t>
  </si>
  <si>
    <t>м3</t>
  </si>
  <si>
    <t>RUB</t>
  </si>
  <si>
    <t>м2</t>
  </si>
  <si>
    <t>т</t>
  </si>
  <si>
    <t>шт.</t>
  </si>
  <si>
    <t>PW00-01-04-2</t>
  </si>
  <si>
    <t>Обрезка оголовок свай / Обнажение арматуры/Срезка свай при отказе</t>
  </si>
  <si>
    <t>CW00-01-02-10</t>
  </si>
  <si>
    <t>Обратная засыпка песком привозным с уплотнением ( труб, кабелей, нестандартных фундаментов, под тротуары, пазух фундаментов, дренажных емкостей и т.д..)</t>
  </si>
  <si>
    <t>CW00-01-01-16</t>
  </si>
  <si>
    <t>Разработка грунта механизированным способом, под проектную высотную отметку с погрузкой грунта в автомобили-самосвалы (Iа,I,II кат. грунта) включая работы в карьере и котловане</t>
  </si>
  <si>
    <t>CW00-01-01-7</t>
  </si>
  <si>
    <t>Разработка грунта в ручную</t>
  </si>
  <si>
    <t>CW00-01-01-25</t>
  </si>
  <si>
    <t>Транспортировка /перевозка грунта свыше 3х км</t>
  </si>
  <si>
    <t>т*км</t>
  </si>
  <si>
    <t>CW00-03-05-9</t>
  </si>
  <si>
    <t>Арматура для монолитного железобетона, класс арматуры по проекту (ниже 0)</t>
  </si>
  <si>
    <t>CW00-03-01-1</t>
  </si>
  <si>
    <t>Бетонирование фундаментов, ростверков, плит и т.д.</t>
  </si>
  <si>
    <t>CW00-03-03-8</t>
  </si>
  <si>
    <t>Тощий (неармированный) бетон, класс бетона по проекту</t>
  </si>
  <si>
    <t>CW00-07-01-5</t>
  </si>
  <si>
    <t>Опалубка для элементов ниже уровня земли</t>
  </si>
  <si>
    <t>CW00-03-06-12</t>
  </si>
  <si>
    <t>Монтаж анкерных болтов для монолитных железобетонных конструкций</t>
  </si>
  <si>
    <t>кг</t>
  </si>
  <si>
    <t>CW00-03-02-4</t>
  </si>
  <si>
    <t>Бетонная подливка цементными или эпоксидными безусадочными растворами подопорных конструкций объемом &lt;0,1 м3</t>
  </si>
  <si>
    <t>CW00-03-07-2</t>
  </si>
  <si>
    <t>Устройство оклеечной гидроизоляции бетонных сооружений</t>
  </si>
  <si>
    <t>CW00-01-02-8</t>
  </si>
  <si>
    <t>Обратная засыпка вручную</t>
  </si>
  <si>
    <t>CW00-01-01-23</t>
  </si>
  <si>
    <t>Погрузка грунта в автомобили-самосвалы</t>
  </si>
  <si>
    <t>CW00-03-02-5</t>
  </si>
  <si>
    <t>Бетонная подливка цементными или эпоксидными безусадочными растворами подопорных конструкций объемом от 0,1 до ≤0,3 м3</t>
  </si>
  <si>
    <t>CW00-03-08-13</t>
  </si>
  <si>
    <t>Теплоизоляция из жесткого пенопласта на основе полистирола для бетонных конструкций (толщину принять по проекту)</t>
  </si>
  <si>
    <t>CW00-01-02-2</t>
  </si>
  <si>
    <t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t>
  </si>
  <si>
    <t>CW00-03-06-11</t>
  </si>
  <si>
    <t>Монтаж закладных деталей</t>
  </si>
  <si>
    <t>CW00-03-02-6</t>
  </si>
  <si>
    <t>Бетонная подливка цементными или эпоксидными безусадочными растворами подопорных конструкций объемом &gt;0,3 м3</t>
  </si>
  <si>
    <t>CW00-01-01-6</t>
  </si>
  <si>
    <t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перемещением грунта до 50 м </t>
  </si>
  <si>
    <t>PN00-01-03-17</t>
  </si>
  <si>
    <t>Монтаж подземного трубопровода из полиэтилена/ полипропилена, свыше Ду 400 до Ду 700</t>
  </si>
  <si>
    <t>м</t>
  </si>
  <si>
    <t>CW00-01-02-3</t>
  </si>
  <si>
    <t>Устройство основания (обратная засыпка) местным грунтом (хранимым материалом), с уплотнением</t>
  </si>
  <si>
    <t>HU00-02-01-3</t>
  </si>
  <si>
    <t>Устройство футляра открытым способом из стальных труб свыше Ду 400 до Ду 700</t>
  </si>
  <si>
    <t>HU00-03-01-21</t>
  </si>
  <si>
    <t>Протаскивание труб стальных/полиэтиленовых в футляр ДУ от 400мм до 500мм</t>
  </si>
  <si>
    <t>PN00-01-03-16</t>
  </si>
  <si>
    <t>Монтаж подземного трубопровода из полиэтилена/ полипропилена, свыше Ду 200 до Ду 400</t>
  </si>
  <si>
    <t>PN00-01-03-15</t>
  </si>
  <si>
    <t>Монтаж подземного трубопровода из полиэтилена/ полипропилена, свыше Ду 125 до Ду 200</t>
  </si>
  <si>
    <t>PN00-01-14-3</t>
  </si>
  <si>
    <t>Монтаж подземного трубопровода из углеродистой стали с наружным заводским покрытием «усиленного типа», свыше Ду 125 до Ду 200</t>
  </si>
  <si>
    <t>PN00-01-14-5</t>
  </si>
  <si>
    <t>Монтаж подземного трубопровода из углеродистой стали с наружным заводским покрытием «усиленного типа», свыше Ду 400 до Ду 700</t>
  </si>
  <si>
    <t>HU00-02-01-2</t>
  </si>
  <si>
    <t>Устройство футляра открытым способом из стальных труб свыше Ду 250 до Ду 400</t>
  </si>
  <si>
    <t>PN00-01-04-23</t>
  </si>
  <si>
    <t>Монтаж подземного трубопровода из углеродистой стали, свыше Ду 200 до Ду 400</t>
  </si>
  <si>
    <t>HU00-03-01-20</t>
  </si>
  <si>
    <t>Протаскивание труб стальных/полиэтиленовых в футляр ДУ от 250мм до 400мм</t>
  </si>
  <si>
    <t>PN00-01-14-2</t>
  </si>
  <si>
    <t>Монтаж подземного трубопровода из углеродистой стали с наружным заводским покрытием «усиленного типа», свыше Ду 80 до Ду 125</t>
  </si>
  <si>
    <t>HU00-03-01-19</t>
  </si>
  <si>
    <t>Протаскивание труб стальных/полиэтиленовых в футляр ДУ от 110мм до 250мм</t>
  </si>
  <si>
    <t>HU00-03-01-18</t>
  </si>
  <si>
    <t>Протаскивание труб стальных/полиэтиленовых в футляр Ду до 110мм</t>
  </si>
  <si>
    <t>PN00-01-03-13</t>
  </si>
  <si>
    <t>Монтаж подземного трубопровода из полиэтилена/ полипропилена, от Ду 15 до Ду 80</t>
  </si>
  <si>
    <t>PN00-01-03-14</t>
  </si>
  <si>
    <t>Монтаж подземного трубопровода из полиэтилена/ полипропилена, свыше Ду 80 до Ду 125</t>
  </si>
  <si>
    <t>PN00-04-01-1</t>
  </si>
  <si>
    <t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до Ду 50 мм</t>
  </si>
  <si>
    <t>PN00-04-01-5</t>
  </si>
  <si>
    <t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200 до Ду 400</t>
  </si>
  <si>
    <t>PN00-04-01-3</t>
  </si>
  <si>
    <t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80 до Ду 125</t>
  </si>
  <si>
    <t>PE00-15-01-10</t>
  </si>
  <si>
    <t>Пожарные гидранты</t>
  </si>
  <si>
    <t>CW00-02-02-2</t>
  </si>
  <si>
    <t>Устройство бетонной отмостки у колодцев</t>
  </si>
  <si>
    <t>CW00-02-01-15</t>
  </si>
  <si>
    <t>Монтаж сборных железобетонных колодцев</t>
  </si>
  <si>
    <t>CW00-02-02-5</t>
  </si>
  <si>
    <t>Монтаж люков колодцев</t>
  </si>
  <si>
    <t>SS00-03-01-8</t>
  </si>
  <si>
    <t>Стремянки, ограждения стремянок</t>
  </si>
  <si>
    <t>PN00-04-02-6</t>
  </si>
  <si>
    <t>Монтаж запорно-регулирующей арматуры с автоматическим приводом свыше Ду 400 до Ду 700</t>
  </si>
  <si>
    <t>PN00-04-02-5</t>
  </si>
  <si>
    <t>Монтаж запорно-регулирующей арматуры с автоматическим приводом свыше Ду 200 до Ду 400</t>
  </si>
  <si>
    <t>CW00-01-01-3</t>
  </si>
  <si>
    <t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погрузкой грунта в автомобили-самосвалы</t>
  </si>
  <si>
    <t>CW00-03-01-21</t>
  </si>
  <si>
    <t>Бетонирование для бетонных колодцев</t>
  </si>
  <si>
    <t>PN00-01-14-4</t>
  </si>
  <si>
    <t>Монтаж подземного трубопровода из углеродистой стали с наружным заводским покрытием «усиленного типа», свыше Ду 200 до Ду 400</t>
  </si>
  <si>
    <t>PN00-01-03-18</t>
  </si>
  <si>
    <t>Монтаж подземного трубопровода из полиэтилена/ полипропилена, свыше Ду 700 до Ду 1100</t>
  </si>
  <si>
    <t>HU00-02-02-3</t>
  </si>
  <si>
    <t>Устройство футляра открытым способом из полиэтиленовых/полипропиленовых труб свыше Ду 400 до Ду 700</t>
  </si>
  <si>
    <t>FW00-12-01-04</t>
  </si>
  <si>
    <t>Устройство гидроизоляции из профилированной мембраны</t>
  </si>
  <si>
    <t>CW00-02-01-3</t>
  </si>
  <si>
    <t>Монтаж сборных железобетонных стен</t>
  </si>
  <si>
    <t>CW00-05-01-7</t>
  </si>
  <si>
    <t>Цементно-песчаная смесь(марку смеси принять по проекту)</t>
  </si>
  <si>
    <t>CW00-03-07-1</t>
  </si>
  <si>
    <t>Устройство обмазочной гидроизоляции бетонных сооружений</t>
  </si>
  <si>
    <t>PN00-04-02-3</t>
  </si>
  <si>
    <t>Монтаж запорно-регулирующей арматуры с автоматическим приводом свыше Ду 80 до Ду 125</t>
  </si>
  <si>
    <t>CW00-03-10-4</t>
  </si>
  <si>
    <t>Устройство деформационного, осадочного шва с заполнением битумом или полиуретановым герметиком</t>
  </si>
  <si>
    <t>CW30-04-04-10</t>
  </si>
  <si>
    <t>Устройство верхнего слоя из асфальтовых или асфальтобетонных смесей, тип смеси принять по проекту// гидрофобный слой, укладка и подача материала  в ручную</t>
  </si>
  <si>
    <t>CW00-01-05-21</t>
  </si>
  <si>
    <t>Устройство покрытия (основание, площадка, откосы) из щебня по методу заклинки с уплотнением (фракция по проекту)</t>
  </si>
  <si>
    <t>CW00-03-06-17</t>
  </si>
  <si>
    <t xml:space="preserve">Монтаж распорных анкерных болтов более М12 </t>
  </si>
  <si>
    <t>FW00-04-01-12</t>
  </si>
  <si>
    <t>Устройство уклонообразующего слоя стяжки</t>
  </si>
  <si>
    <t>CW00-03-01-10</t>
  </si>
  <si>
    <t>Бетонирование отбортованных площадок</t>
  </si>
  <si>
    <t>CW00-03-05-7</t>
  </si>
  <si>
    <t>Арматура для монолитного железобетона, класс арматуры по проекту (выше 0)</t>
  </si>
  <si>
    <t>CW00-03-01-18</t>
  </si>
  <si>
    <t>Бетонирование колонн</t>
  </si>
  <si>
    <t>CW00-07-02-21</t>
  </si>
  <si>
    <t>Опалубка колонн</t>
  </si>
  <si>
    <t>CW00-03-01-20</t>
  </si>
  <si>
    <t>Бетонирование балок</t>
  </si>
  <si>
    <t>CW00-07-02-22</t>
  </si>
  <si>
    <t>Опалубка балок</t>
  </si>
  <si>
    <t>CW00-03-01-19</t>
  </si>
  <si>
    <t>Бетонирование стен</t>
  </si>
  <si>
    <t>CW00-07-02-25</t>
  </si>
  <si>
    <t>Опалубка стен</t>
  </si>
  <si>
    <t>CW00-03-01-23</t>
  </si>
  <si>
    <t>Бетонирование перекрытий</t>
  </si>
  <si>
    <t>CW00-07-02-23</t>
  </si>
  <si>
    <t>Опалубка потолка</t>
  </si>
  <si>
    <t>CW00-03-01-16</t>
  </si>
  <si>
    <t>Бетонирование лестничных маршей и площадок</t>
  </si>
  <si>
    <t>CW00-07-02-7</t>
  </si>
  <si>
    <t>Опалубка для бетонных лестниц</t>
  </si>
  <si>
    <t>FW00-04-01-10</t>
  </si>
  <si>
    <t>Бетонная стяжка на полах от 51 мм до 100 мм</t>
  </si>
  <si>
    <t>CW00-03-01-14</t>
  </si>
  <si>
    <t>Бетонирование набетонок</t>
  </si>
  <si>
    <t>EL00-02-01-3</t>
  </si>
  <si>
    <t>Установка полосы стальной, горячеоцинкованной, 5х40 мм</t>
  </si>
  <si>
    <t>EL00-01-04-4</t>
  </si>
  <si>
    <t>Монтаж стальной, горячеоцинкованной полосы заземления по строительным конструкциям</t>
  </si>
  <si>
    <t>EL00-02-08-2</t>
  </si>
  <si>
    <t>Установка заземляющего электрода, диаметром 18 мм</t>
  </si>
  <si>
    <t>EL00-01-01-2</t>
  </si>
  <si>
    <t>Монтаж провода заземления, сечением от 16 мм2 до 35 мм2</t>
  </si>
  <si>
    <t>EL00-01-02-2</t>
  </si>
  <si>
    <t>Оконцевание и присоединение провода заземления, сечением от 16 мм2 до 35 мм2</t>
  </si>
  <si>
    <t>CW00-07-02-26</t>
  </si>
  <si>
    <t>Опалубка колодцев</t>
  </si>
  <si>
    <t>CW00-03-10-7</t>
  </si>
  <si>
    <t xml:space="preserve">Зачистка существующих бетонных поверхностей </t>
  </si>
  <si>
    <t>SS00-01-03-7</t>
  </si>
  <si>
    <t>Металлоконструкции зданий и навесов с удельным весом элемента не более 21 кг/м и/или не более 50 кг/шт.</t>
  </si>
  <si>
    <t>CW00-02-01-5</t>
  </si>
  <si>
    <t>Монтаж сборных железобетонных изделий для инженерных сетей и коммуникаций</t>
  </si>
  <si>
    <t>SS00-06-01-1</t>
  </si>
  <si>
    <t>Изготовление металлоконструкций на площадке</t>
  </si>
  <si>
    <t>CP00-10-02-02</t>
  </si>
  <si>
    <t>Полный комплекс АКЗ металлоконструкций, включая подготовку поверхности до Sa2,5 и нанесение системы АКЗ, состоящей из грунтовочного и финишного покрытий</t>
  </si>
  <si>
    <t>CW00-03-05-11</t>
  </si>
  <si>
    <t>Арматура для монолитного железобетона, класс арматуры по проекту (колодцы)</t>
  </si>
  <si>
    <t>CW00-01-05-27</t>
  </si>
  <si>
    <t>Устройство подстилающего слоя из щебня по методу заклинки с уплотнением</t>
  </si>
  <si>
    <t>CW00-01-02-9</t>
  </si>
  <si>
    <t>Обратная засыпка местным грунтом с уплотнением (пазух фундаментов, дренажных емкостей и т.д..)</t>
  </si>
  <si>
    <t>HU00-02-01-8</t>
  </si>
  <si>
    <t>Устройство разрезных защитных футляров из стальных труб свыше ду 400 до ду700 мм</t>
  </si>
  <si>
    <t>CP00-15-02-02</t>
  </si>
  <si>
    <t>Устройство ленточной гидроизоляции подземных трубопроводов DN&gt;500 мм</t>
  </si>
  <si>
    <t>FW00-05-09-02</t>
  </si>
  <si>
    <t>Монтаж решетки грязезащитной системы (стальной решнастил/просечной)</t>
  </si>
  <si>
    <t>CW00-01-02-1</t>
  </si>
  <si>
    <t>Устройство основания песком - дорог и площадок, с уплотнением</t>
  </si>
  <si>
    <t>FW00-11-01-03</t>
  </si>
  <si>
    <t>Теплоизоляция на полах и кровле из пенополистирола/полистирола</t>
  </si>
  <si>
    <t>PN00-01-04-22</t>
  </si>
  <si>
    <t>Монтаж подземного трубопровода из углеродистой стали, свыше Ду 125 до Ду 200</t>
  </si>
  <si>
    <t>PI00-07-13-1</t>
  </si>
  <si>
    <t>Монтаж специальных опор - вес одной опоры - &gt;0-10кг</t>
  </si>
  <si>
    <t>PN00-04-02-4</t>
  </si>
  <si>
    <t>Монтаж запорно-регулирующей арматуры с автоматическим приводом свыше Ду 125 до Ду 200</t>
  </si>
  <si>
    <t>CP00-10-01-03</t>
  </si>
  <si>
    <t>Полный комплекс АКЗ металлоконструкций, включая подготовку поверхности до Sa1 и нанесение системы АКЗ, состоящей из грунтовочного, промежуточного и финишного покрытий</t>
  </si>
  <si>
    <t>PN00-01-04-21</t>
  </si>
  <si>
    <t>Монтаж подземного трубопровода из углеродистой стали, свыше Ду 80 до Ду 125</t>
  </si>
  <si>
    <t>CP00-10-01-02</t>
  </si>
  <si>
    <t>Полный комплекс АКЗ металлоконструкций, включая подготовку поверхности до Sa1 и нанесение системы АКЗ, состоящей из грунтовочного и финишного покрытий</t>
  </si>
  <si>
    <t>CP00-15-02-01</t>
  </si>
  <si>
    <t>Устройство ленточной гидроизоляции подземных трубопроводов DN &lt;=500 мм</t>
  </si>
  <si>
    <t>CW00-03-01-22</t>
  </si>
  <si>
    <t>Бетонирование подопорных фундаментных конструкций объемом менее 0,3 м3</t>
  </si>
  <si>
    <t>FW00-12-01-01</t>
  </si>
  <si>
    <t>Устройство гидроизоляции полов из рулонных полимерных материалов в 1 слой</t>
  </si>
  <si>
    <t>CW30-01-02-10-1</t>
  </si>
  <si>
    <t>Подготовка основания под фундамент 3109-FD16 с использованием катка 30 машино-часов</t>
  </si>
  <si>
    <t>DW00-02-04-01-01</t>
  </si>
  <si>
    <t>Полный демонтаж фундаментов (ростверков, подколонников, ленточных фундаментов, фундаментных плит, балок и т.п.) из монолитного ж/б (демонтаж существующих остатков фундамента эстакады тит. 2601)</t>
  </si>
  <si>
    <t>DW00-14-01-01-03</t>
  </si>
  <si>
    <t>Транспортировка на полигон или площадку складирования строительного боя и мусора (демонтаж существующих остатков фундамента эстакады тит. 2601)</t>
  </si>
  <si>
    <t>CW00-04-11-1</t>
  </si>
  <si>
    <t>Монтаж ж/б плит дорожных (ПАГ/ПДН)</t>
  </si>
  <si>
    <t>PF00-02-14-4</t>
  </si>
  <si>
    <t>Огнезащита для МК с пределом огнестойкости R60 в условиях углеводородного пожара системой, состоящей из огнезащитного и финишного покрытий (толщина сухого слоя более 3 мм. до 6 мм. включительно)</t>
  </si>
  <si>
    <t>PF00-02-19-4</t>
  </si>
  <si>
    <t>Подкраска огнезащиты для МК с пределом огнестойкости R15-R60 в условиях углеводородного пожара системой, состоящей из грунтовочного, огнезащитного и финишного покрытий</t>
  </si>
  <si>
    <t>SS00-01-01-7</t>
  </si>
  <si>
    <t>Металлоконструкции этажерок и структур с удельным весом элемента не более 21 кг/м и/или не более 50 кг/шт.</t>
  </si>
  <si>
    <t>HV00-01-34-1</t>
  </si>
  <si>
    <t>Зонты вентиляционные круглого сечения диаметром до 400 мм включительно</t>
  </si>
  <si>
    <t>CW00-07-02-9</t>
  </si>
  <si>
    <t>Опалубка потолков резервуаров и тяжелого оборудования (прямоугольная)</t>
  </si>
  <si>
    <t>FW00-04-01-08</t>
  </si>
  <si>
    <t>Устройство топпингового покрытия пола</t>
  </si>
  <si>
    <t>FW00-01-08-3</t>
  </si>
  <si>
    <t>Монтаж цокольных панелей</t>
  </si>
  <si>
    <t>CW00-03-01-12</t>
  </si>
  <si>
    <t>Бетонирование монолитных лотков</t>
  </si>
  <si>
    <t>CW00-02-01-14</t>
  </si>
  <si>
    <t>Монтаж сборных железобетонных крышек траншей и каналов</t>
  </si>
  <si>
    <t>CW00-03-11-1</t>
  </si>
  <si>
    <t>Изготовление сборных железобетонных конструкций в построечных условиях</t>
  </si>
  <si>
    <t>CW00-02-01-6</t>
  </si>
  <si>
    <t>Монтаж сборных бетонных (железобетонных) фундаментных блоков</t>
  </si>
  <si>
    <t>CP00-10-03-02</t>
  </si>
  <si>
    <t>Завершение комплекса АКЗ огрунтованных металлоконструкций, включая подготовку поверхности по проекту и нанесение промежуточного и финишного покрытий</t>
  </si>
  <si>
    <t>SS00-04-01-3</t>
  </si>
  <si>
    <t>Оцинкованный решетчатый настил, включая ступени и метизную продукцию</t>
  </si>
  <si>
    <t>SS00-07-01-2</t>
  </si>
  <si>
    <t>Усиление существующих железобетонных конструкций в построечных условиях</t>
  </si>
  <si>
    <t>CW00-01-05-20</t>
  </si>
  <si>
    <t>Устройство покрытия (основание, площадка, откосы) из щебня с уплотнением (фракция по проекту)</t>
  </si>
  <si>
    <t>DW00-01-03-01-03</t>
  </si>
  <si>
    <t>Демонтаж покрытий дорог, площадок и тротуаров из сборного железобетона</t>
  </si>
  <si>
    <t>CW00-03-06-14</t>
  </si>
  <si>
    <t>Монтаж химических анкерных болтов более М12 до М24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</si>
</sst>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sz val="11"/>
      <name val="Carlito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563EB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4" fontId="0" fillId="0" borderId="4" xfId="1" applyNumberFormat="1" applyFont="1" applyBorder="1" applyAlignment="1">
      <alignment vertical="center"/>
    </xf>
    <xf numFmtId="4" fontId="0" fillId="0" borderId="5" xfId="1" applyNumberFormat="1" applyFont="1" applyBorder="1" applyAlignment="1">
      <alignment vertic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/>
    <xf numFmtId="0" fontId="5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PricesTable" displayName="DemoPricesTable" ref="A4:E129" totalsRowShown="0">
  <tableColumns count="5">
    <tableColumn id="1" xr3:uid="{00000000-0010-0000-0000-000001000000}" name="Код расценки"/>
    <tableColumn id="2" xr3:uid="{00000000-0010-0000-0000-000002000000}" name="Наименование"/>
    <tableColumn id="3" xr3:uid="{00000000-0010-0000-0000-000003000000}" name="Ед. изм."/>
    <tableColumn id="4" xr3:uid="{00000000-0010-0000-0000-000004000000}" name="Валюта"/>
    <tableColumn id="5" xr3:uid="{00000000-0010-0000-0000-000005000000}" name="Базовая це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showGridLines="0" tabSelected="1" topLeftCell="A7" workbookViewId="0">
      <selection activeCell="E26" sqref="E26:E129"/>
    </sheetView>
  </sheetViews>
  <sheetFormatPr defaultRowHeight="14.25"/>
  <cols>
    <col min="1" max="1" width="18" customWidth="1"/>
    <col min="2" max="2" width="38" customWidth="1"/>
    <col min="3" max="4" width="13" customWidth="1"/>
    <col min="5" max="5" width="18" customWidth="1"/>
  </cols>
  <sheetData>
    <row r="1" spans="1:5" ht="30" customHeight="1">
      <c r="A1" s="8" t="s">
        <v>0</v>
      </c>
      <c r="B1" s="8"/>
      <c r="C1" s="8"/>
      <c r="D1" s="8"/>
      <c r="E1" s="8"/>
    </row>
    <row r="2" spans="1:5">
      <c r="A2" s="9" t="s">
        <v>1</v>
      </c>
      <c r="B2" s="9"/>
      <c r="C2" s="9"/>
      <c r="D2" s="9"/>
      <c r="E2" s="9"/>
    </row>
    <row r="4" spans="1:5" ht="33.950000000000003" customHeight="1">
      <c r="A4" s="1" t="s">
        <v>2</v>
      </c>
      <c r="B4" s="2" t="s">
        <v>3</v>
      </c>
      <c r="C4" s="2" t="s">
        <v>4</v>
      </c>
      <c r="D4" s="2" t="s">
        <v>5</v>
      </c>
      <c r="E4" s="3" t="s">
        <v>6</v>
      </c>
    </row>
    <row r="5" spans="1:5">
      <c r="A5" s="10" t="s">
        <v>12</v>
      </c>
      <c r="B5" s="11" t="s">
        <v>13</v>
      </c>
      <c r="C5" s="12" t="s">
        <v>7</v>
      </c>
      <c r="D5" s="4" t="s">
        <v>8</v>
      </c>
      <c r="E5" s="6">
        <v>1564</v>
      </c>
    </row>
    <row r="6" spans="1:5">
      <c r="A6" s="13" t="s">
        <v>12</v>
      </c>
      <c r="B6" s="14" t="s">
        <v>13</v>
      </c>
      <c r="C6" s="15" t="s">
        <v>7</v>
      </c>
      <c r="D6" s="5" t="s">
        <v>8</v>
      </c>
      <c r="E6" s="7">
        <v>1758</v>
      </c>
    </row>
    <row r="7" spans="1:5">
      <c r="A7" s="13" t="s">
        <v>14</v>
      </c>
      <c r="B7" s="14" t="s">
        <v>15</v>
      </c>
      <c r="C7" s="15" t="s">
        <v>7</v>
      </c>
      <c r="D7" s="5" t="s">
        <v>8</v>
      </c>
      <c r="E7" s="7">
        <v>1952</v>
      </c>
    </row>
    <row r="8" spans="1:5">
      <c r="A8" s="11" t="s">
        <v>16</v>
      </c>
      <c r="B8" s="11" t="s">
        <v>17</v>
      </c>
      <c r="C8" s="12" t="s">
        <v>7</v>
      </c>
      <c r="D8" s="5" t="s">
        <v>8</v>
      </c>
      <c r="E8" s="7">
        <v>2146</v>
      </c>
    </row>
    <row r="9" spans="1:5">
      <c r="A9" s="16" t="s">
        <v>18</v>
      </c>
      <c r="B9" s="16" t="s">
        <v>19</v>
      </c>
      <c r="C9" s="17" t="s">
        <v>7</v>
      </c>
      <c r="D9" s="5" t="s">
        <v>8</v>
      </c>
      <c r="E9" s="7">
        <v>2340</v>
      </c>
    </row>
    <row r="10" spans="1:5">
      <c r="A10" s="11" t="s">
        <v>20</v>
      </c>
      <c r="B10" s="11" t="s">
        <v>21</v>
      </c>
      <c r="C10" s="12" t="s">
        <v>22</v>
      </c>
      <c r="D10" s="5" t="s">
        <v>8</v>
      </c>
      <c r="E10" s="7">
        <v>2534</v>
      </c>
    </row>
    <row r="11" spans="1:5">
      <c r="A11" s="11" t="s">
        <v>23</v>
      </c>
      <c r="B11" s="11" t="s">
        <v>24</v>
      </c>
      <c r="C11" s="12" t="s">
        <v>10</v>
      </c>
      <c r="D11" s="5" t="s">
        <v>8</v>
      </c>
      <c r="E11" s="7">
        <v>2728</v>
      </c>
    </row>
    <row r="12" spans="1:5">
      <c r="A12" s="11" t="s">
        <v>25</v>
      </c>
      <c r="B12" s="11" t="s">
        <v>26</v>
      </c>
      <c r="C12" s="12" t="s">
        <v>7</v>
      </c>
      <c r="D12" s="5" t="s">
        <v>8</v>
      </c>
      <c r="E12" s="7">
        <v>2922</v>
      </c>
    </row>
    <row r="13" spans="1:5">
      <c r="A13" s="18" t="s">
        <v>27</v>
      </c>
      <c r="B13" s="18" t="s">
        <v>28</v>
      </c>
      <c r="C13" s="19" t="s">
        <v>7</v>
      </c>
      <c r="D13" s="5" t="s">
        <v>8</v>
      </c>
      <c r="E13" s="7">
        <v>3116</v>
      </c>
    </row>
    <row r="14" spans="1:5">
      <c r="A14" s="11" t="s">
        <v>29</v>
      </c>
      <c r="B14" s="11" t="s">
        <v>30</v>
      </c>
      <c r="C14" s="12" t="s">
        <v>9</v>
      </c>
      <c r="D14" s="5" t="s">
        <v>8</v>
      </c>
      <c r="E14" s="7">
        <v>3310</v>
      </c>
    </row>
    <row r="15" spans="1:5">
      <c r="A15" s="14" t="s">
        <v>31</v>
      </c>
      <c r="B15" s="14" t="s">
        <v>32</v>
      </c>
      <c r="C15" s="15" t="s">
        <v>33</v>
      </c>
      <c r="D15" s="5" t="s">
        <v>8</v>
      </c>
      <c r="E15" s="7">
        <v>3504</v>
      </c>
    </row>
    <row r="16" spans="1:5">
      <c r="A16" s="14" t="s">
        <v>34</v>
      </c>
      <c r="B16" s="14" t="s">
        <v>35</v>
      </c>
      <c r="C16" s="15" t="s">
        <v>7</v>
      </c>
      <c r="D16" s="5" t="s">
        <v>8</v>
      </c>
      <c r="E16" s="7">
        <v>3698</v>
      </c>
    </row>
    <row r="17" spans="1:5">
      <c r="A17" s="11" t="s">
        <v>36</v>
      </c>
      <c r="B17" s="11" t="s">
        <v>37</v>
      </c>
      <c r="C17" s="12" t="s">
        <v>9</v>
      </c>
      <c r="D17" s="5" t="s">
        <v>8</v>
      </c>
      <c r="E17" s="7">
        <v>3892</v>
      </c>
    </row>
    <row r="18" spans="1:5">
      <c r="A18" s="14" t="s">
        <v>38</v>
      </c>
      <c r="B18" s="14" t="s">
        <v>39</v>
      </c>
      <c r="C18" s="15" t="s">
        <v>7</v>
      </c>
      <c r="D18" s="5" t="s">
        <v>8</v>
      </c>
      <c r="E18" s="7">
        <v>4086</v>
      </c>
    </row>
    <row r="19" spans="1:5">
      <c r="A19" s="11" t="s">
        <v>40</v>
      </c>
      <c r="B19" s="11" t="s">
        <v>41</v>
      </c>
      <c r="C19" s="12" t="s">
        <v>7</v>
      </c>
      <c r="D19" s="5" t="s">
        <v>8</v>
      </c>
      <c r="E19" s="7">
        <v>4280</v>
      </c>
    </row>
    <row r="20" spans="1:5">
      <c r="A20" s="11" t="s">
        <v>42</v>
      </c>
      <c r="B20" s="11" t="s">
        <v>43</v>
      </c>
      <c r="C20" s="12" t="s">
        <v>7</v>
      </c>
      <c r="D20" s="5" t="s">
        <v>8</v>
      </c>
      <c r="E20" s="7">
        <v>4474</v>
      </c>
    </row>
    <row r="21" spans="1:5">
      <c r="A21" s="14" t="s">
        <v>44</v>
      </c>
      <c r="B21" s="14" t="s">
        <v>45</v>
      </c>
      <c r="C21" s="15" t="s">
        <v>7</v>
      </c>
      <c r="D21" s="5" t="s">
        <v>8</v>
      </c>
      <c r="E21" s="7">
        <v>4668</v>
      </c>
    </row>
    <row r="22" spans="1:5">
      <c r="A22" s="18" t="s">
        <v>46</v>
      </c>
      <c r="B22" s="18" t="s">
        <v>47</v>
      </c>
      <c r="C22" s="19" t="s">
        <v>7</v>
      </c>
      <c r="D22" s="5" t="s">
        <v>8</v>
      </c>
      <c r="E22" s="7">
        <v>4862</v>
      </c>
    </row>
    <row r="23" spans="1:5">
      <c r="A23" s="14" t="s">
        <v>48</v>
      </c>
      <c r="B23" s="14" t="s">
        <v>49</v>
      </c>
      <c r="C23" s="15" t="s">
        <v>33</v>
      </c>
      <c r="D23" s="5" t="s">
        <v>8</v>
      </c>
      <c r="E23" s="7">
        <v>5056</v>
      </c>
    </row>
    <row r="24" spans="1:5">
      <c r="A24" s="11" t="s">
        <v>50</v>
      </c>
      <c r="B24" s="11" t="s">
        <v>51</v>
      </c>
      <c r="C24" s="12" t="s">
        <v>7</v>
      </c>
      <c r="D24" s="5" t="s">
        <v>8</v>
      </c>
      <c r="E24" s="7">
        <v>5250</v>
      </c>
    </row>
    <row r="25" spans="1:5">
      <c r="A25" s="11" t="s">
        <v>52</v>
      </c>
      <c r="B25" s="11" t="s">
        <v>53</v>
      </c>
      <c r="C25" s="12" t="s">
        <v>7</v>
      </c>
      <c r="D25" s="5" t="s">
        <v>8</v>
      </c>
      <c r="E25">
        <f>1000</f>
        <v>1000</v>
      </c>
    </row>
    <row r="26" spans="1:5">
      <c r="A26" s="14" t="s">
        <v>54</v>
      </c>
      <c r="B26" s="14" t="s">
        <v>55</v>
      </c>
      <c r="C26" s="15" t="s">
        <v>56</v>
      </c>
      <c r="D26" s="5" t="s">
        <v>8</v>
      </c>
      <c r="E26">
        <f>E25+20</f>
        <v>1020</v>
      </c>
    </row>
    <row r="27" spans="1:5">
      <c r="A27" s="14" t="s">
        <v>57</v>
      </c>
      <c r="B27" s="14" t="s">
        <v>58</v>
      </c>
      <c r="C27" s="15" t="s">
        <v>7</v>
      </c>
      <c r="D27" s="5" t="s">
        <v>8</v>
      </c>
      <c r="E27">
        <f t="shared" ref="E27:E90" si="0">E26+20</f>
        <v>1040</v>
      </c>
    </row>
    <row r="28" spans="1:5">
      <c r="A28" s="14" t="s">
        <v>59</v>
      </c>
      <c r="B28" s="14" t="s">
        <v>60</v>
      </c>
      <c r="C28" s="15" t="s">
        <v>56</v>
      </c>
      <c r="D28" s="5" t="s">
        <v>8</v>
      </c>
      <c r="E28">
        <f t="shared" si="0"/>
        <v>1060</v>
      </c>
    </row>
    <row r="29" spans="1:5">
      <c r="A29" s="11" t="s">
        <v>61</v>
      </c>
      <c r="B29" s="11" t="s">
        <v>62</v>
      </c>
      <c r="C29" s="12" t="s">
        <v>56</v>
      </c>
      <c r="D29" s="5" t="s">
        <v>8</v>
      </c>
      <c r="E29">
        <f t="shared" si="0"/>
        <v>1080</v>
      </c>
    </row>
    <row r="30" spans="1:5">
      <c r="A30" s="11" t="s">
        <v>63</v>
      </c>
      <c r="B30" s="11" t="s">
        <v>64</v>
      </c>
      <c r="C30" s="12" t="s">
        <v>56</v>
      </c>
      <c r="D30" s="5" t="s">
        <v>8</v>
      </c>
      <c r="E30">
        <f t="shared" si="0"/>
        <v>1100</v>
      </c>
    </row>
    <row r="31" spans="1:5">
      <c r="A31" s="11" t="s">
        <v>65</v>
      </c>
      <c r="B31" s="11" t="s">
        <v>66</v>
      </c>
      <c r="C31" s="12" t="s">
        <v>56</v>
      </c>
      <c r="D31" s="5" t="s">
        <v>8</v>
      </c>
      <c r="E31">
        <f t="shared" si="0"/>
        <v>1120</v>
      </c>
    </row>
    <row r="32" spans="1:5">
      <c r="A32" s="11" t="s">
        <v>67</v>
      </c>
      <c r="B32" s="11" t="s">
        <v>68</v>
      </c>
      <c r="C32" s="12" t="s">
        <v>56</v>
      </c>
      <c r="D32" s="5" t="s">
        <v>8</v>
      </c>
      <c r="E32">
        <f t="shared" si="0"/>
        <v>1140</v>
      </c>
    </row>
    <row r="33" spans="1:5">
      <c r="A33" s="11" t="s">
        <v>69</v>
      </c>
      <c r="B33" s="11" t="s">
        <v>70</v>
      </c>
      <c r="C33" s="12" t="s">
        <v>56</v>
      </c>
      <c r="D33" s="5" t="s">
        <v>8</v>
      </c>
      <c r="E33">
        <f t="shared" si="0"/>
        <v>1160</v>
      </c>
    </row>
    <row r="34" spans="1:5">
      <c r="A34" s="14" t="s">
        <v>71</v>
      </c>
      <c r="B34" s="14" t="s">
        <v>72</v>
      </c>
      <c r="C34" s="15" t="s">
        <v>56</v>
      </c>
      <c r="D34" s="5" t="s">
        <v>8</v>
      </c>
      <c r="E34">
        <f t="shared" si="0"/>
        <v>1180</v>
      </c>
    </row>
    <row r="35" spans="1:5">
      <c r="A35" s="11" t="s">
        <v>73</v>
      </c>
      <c r="B35" s="11" t="s">
        <v>74</v>
      </c>
      <c r="C35" s="12" t="s">
        <v>56</v>
      </c>
      <c r="D35" s="5" t="s">
        <v>8</v>
      </c>
      <c r="E35">
        <f t="shared" si="0"/>
        <v>1200</v>
      </c>
    </row>
    <row r="36" spans="1:5">
      <c r="A36" s="11" t="s">
        <v>75</v>
      </c>
      <c r="B36" s="11" t="s">
        <v>76</v>
      </c>
      <c r="C36" s="12" t="s">
        <v>56</v>
      </c>
      <c r="D36" s="5" t="s">
        <v>8</v>
      </c>
      <c r="E36">
        <f t="shared" si="0"/>
        <v>1220</v>
      </c>
    </row>
    <row r="37" spans="1:5">
      <c r="A37" s="11" t="s">
        <v>77</v>
      </c>
      <c r="B37" s="11" t="s">
        <v>78</v>
      </c>
      <c r="C37" s="12" t="s">
        <v>56</v>
      </c>
      <c r="D37" s="5" t="s">
        <v>8</v>
      </c>
      <c r="E37">
        <f t="shared" si="0"/>
        <v>1240</v>
      </c>
    </row>
    <row r="38" spans="1:5">
      <c r="A38" s="11" t="s">
        <v>79</v>
      </c>
      <c r="B38" s="11" t="s">
        <v>80</v>
      </c>
      <c r="C38" s="12" t="s">
        <v>56</v>
      </c>
      <c r="D38" s="5" t="s">
        <v>8</v>
      </c>
      <c r="E38">
        <f t="shared" si="0"/>
        <v>1260</v>
      </c>
    </row>
    <row r="39" spans="1:5">
      <c r="A39" s="11" t="s">
        <v>81</v>
      </c>
      <c r="B39" s="11" t="s">
        <v>82</v>
      </c>
      <c r="C39" s="12" t="s">
        <v>56</v>
      </c>
      <c r="D39" s="5" t="s">
        <v>8</v>
      </c>
      <c r="E39">
        <f t="shared" si="0"/>
        <v>1280</v>
      </c>
    </row>
    <row r="40" spans="1:5">
      <c r="A40" s="11" t="s">
        <v>83</v>
      </c>
      <c r="B40" s="11" t="s">
        <v>84</v>
      </c>
      <c r="C40" s="12" t="s">
        <v>56</v>
      </c>
      <c r="D40" s="5" t="s">
        <v>8</v>
      </c>
      <c r="E40">
        <f t="shared" si="0"/>
        <v>1300</v>
      </c>
    </row>
    <row r="41" spans="1:5">
      <c r="A41" s="14" t="s">
        <v>85</v>
      </c>
      <c r="B41" s="14" t="s">
        <v>86</v>
      </c>
      <c r="C41" s="15" t="s">
        <v>56</v>
      </c>
      <c r="D41" s="5" t="s">
        <v>8</v>
      </c>
      <c r="E41">
        <f t="shared" si="0"/>
        <v>1320</v>
      </c>
    </row>
    <row r="42" spans="1:5">
      <c r="A42" s="11" t="s">
        <v>87</v>
      </c>
      <c r="B42" s="11" t="s">
        <v>88</v>
      </c>
      <c r="C42" s="12" t="s">
        <v>11</v>
      </c>
      <c r="D42" s="5" t="s">
        <v>8</v>
      </c>
      <c r="E42">
        <f t="shared" si="0"/>
        <v>1340</v>
      </c>
    </row>
    <row r="43" spans="1:5">
      <c r="A43" s="14" t="s">
        <v>89</v>
      </c>
      <c r="B43" s="14" t="s">
        <v>90</v>
      </c>
      <c r="C43" s="15" t="s">
        <v>11</v>
      </c>
      <c r="D43" s="5" t="s">
        <v>8</v>
      </c>
      <c r="E43">
        <f t="shared" si="0"/>
        <v>1360</v>
      </c>
    </row>
    <row r="44" spans="1:5">
      <c r="A44" s="11" t="s">
        <v>91</v>
      </c>
      <c r="B44" s="11" t="s">
        <v>92</v>
      </c>
      <c r="C44" s="12" t="s">
        <v>11</v>
      </c>
      <c r="D44" s="5" t="s">
        <v>8</v>
      </c>
      <c r="E44">
        <f t="shared" si="0"/>
        <v>1380</v>
      </c>
    </row>
    <row r="45" spans="1:5">
      <c r="A45" s="14" t="s">
        <v>93</v>
      </c>
      <c r="B45" s="14" t="s">
        <v>94</v>
      </c>
      <c r="C45" s="15" t="s">
        <v>11</v>
      </c>
      <c r="D45" s="5" t="s">
        <v>8</v>
      </c>
      <c r="E45">
        <f t="shared" si="0"/>
        <v>1400</v>
      </c>
    </row>
    <row r="46" spans="1:5">
      <c r="A46" s="11" t="s">
        <v>95</v>
      </c>
      <c r="B46" s="11" t="s">
        <v>96</v>
      </c>
      <c r="C46" s="12" t="s">
        <v>7</v>
      </c>
      <c r="D46" s="5" t="s">
        <v>8</v>
      </c>
      <c r="E46">
        <f t="shared" si="0"/>
        <v>1420</v>
      </c>
    </row>
    <row r="47" spans="1:5">
      <c r="A47" s="14" t="s">
        <v>97</v>
      </c>
      <c r="B47" s="14" t="s">
        <v>98</v>
      </c>
      <c r="C47" s="15" t="s">
        <v>7</v>
      </c>
      <c r="D47" s="5" t="s">
        <v>8</v>
      </c>
      <c r="E47">
        <f t="shared" si="0"/>
        <v>1440</v>
      </c>
    </row>
    <row r="48" spans="1:5">
      <c r="A48" s="11" t="s">
        <v>99</v>
      </c>
      <c r="B48" s="11" t="s">
        <v>100</v>
      </c>
      <c r="C48" s="12" t="s">
        <v>11</v>
      </c>
      <c r="D48" s="5" t="s">
        <v>8</v>
      </c>
      <c r="E48">
        <f t="shared" si="0"/>
        <v>1460</v>
      </c>
    </row>
    <row r="49" spans="1:5">
      <c r="A49" s="14" t="s">
        <v>101</v>
      </c>
      <c r="B49" s="14" t="s">
        <v>102</v>
      </c>
      <c r="C49" s="15" t="s">
        <v>10</v>
      </c>
      <c r="D49" s="5" t="s">
        <v>8</v>
      </c>
      <c r="E49">
        <f t="shared" si="0"/>
        <v>1480</v>
      </c>
    </row>
    <row r="50" spans="1:5">
      <c r="A50" s="11" t="s">
        <v>103</v>
      </c>
      <c r="B50" s="11" t="s">
        <v>104</v>
      </c>
      <c r="C50" s="12" t="s">
        <v>11</v>
      </c>
      <c r="D50" s="5" t="s">
        <v>8</v>
      </c>
      <c r="E50">
        <f t="shared" si="0"/>
        <v>1500</v>
      </c>
    </row>
    <row r="51" spans="1:5">
      <c r="A51" s="11" t="s">
        <v>105</v>
      </c>
      <c r="B51" s="11" t="s">
        <v>106</v>
      </c>
      <c r="C51" s="12" t="s">
        <v>11</v>
      </c>
      <c r="D51" s="5" t="s">
        <v>8</v>
      </c>
      <c r="E51">
        <f t="shared" si="0"/>
        <v>1520</v>
      </c>
    </row>
    <row r="52" spans="1:5">
      <c r="A52" s="18" t="s">
        <v>107</v>
      </c>
      <c r="B52" s="18" t="s">
        <v>108</v>
      </c>
      <c r="C52" s="19" t="s">
        <v>7</v>
      </c>
      <c r="D52" s="5" t="s">
        <v>8</v>
      </c>
      <c r="E52">
        <f t="shared" si="0"/>
        <v>1540</v>
      </c>
    </row>
    <row r="53" spans="1:5">
      <c r="A53" s="14" t="s">
        <v>109</v>
      </c>
      <c r="B53" s="14" t="s">
        <v>110</v>
      </c>
      <c r="C53" s="15" t="s">
        <v>7</v>
      </c>
      <c r="D53" s="5" t="s">
        <v>8</v>
      </c>
      <c r="E53">
        <f t="shared" si="0"/>
        <v>1560</v>
      </c>
    </row>
    <row r="54" spans="1:5">
      <c r="A54" s="14" t="s">
        <v>111</v>
      </c>
      <c r="B54" s="14" t="s">
        <v>112</v>
      </c>
      <c r="C54" s="15" t="s">
        <v>56</v>
      </c>
      <c r="D54" s="5" t="s">
        <v>8</v>
      </c>
      <c r="E54">
        <f t="shared" si="0"/>
        <v>1580</v>
      </c>
    </row>
    <row r="55" spans="1:5">
      <c r="A55" s="14" t="s">
        <v>113</v>
      </c>
      <c r="B55" s="14" t="s">
        <v>114</v>
      </c>
      <c r="C55" s="15" t="s">
        <v>56</v>
      </c>
      <c r="D55" s="5" t="s">
        <v>8</v>
      </c>
      <c r="E55">
        <f t="shared" si="0"/>
        <v>1600</v>
      </c>
    </row>
    <row r="56" spans="1:5">
      <c r="A56" s="11" t="s">
        <v>115</v>
      </c>
      <c r="B56" s="11" t="s">
        <v>116</v>
      </c>
      <c r="C56" s="12" t="s">
        <v>56</v>
      </c>
      <c r="D56" s="5" t="s">
        <v>8</v>
      </c>
      <c r="E56">
        <f t="shared" si="0"/>
        <v>1620</v>
      </c>
    </row>
    <row r="57" spans="1:5">
      <c r="A57" s="11" t="s">
        <v>117</v>
      </c>
      <c r="B57" s="11" t="s">
        <v>118</v>
      </c>
      <c r="C57" s="12" t="s">
        <v>9</v>
      </c>
      <c r="D57" s="5" t="s">
        <v>8</v>
      </c>
      <c r="E57">
        <f t="shared" si="0"/>
        <v>1640</v>
      </c>
    </row>
    <row r="58" spans="1:5">
      <c r="A58" s="11" t="s">
        <v>119</v>
      </c>
      <c r="B58" s="11" t="s">
        <v>120</v>
      </c>
      <c r="C58" s="12" t="s">
        <v>7</v>
      </c>
      <c r="D58" s="5" t="s">
        <v>8</v>
      </c>
      <c r="E58">
        <f t="shared" si="0"/>
        <v>1660</v>
      </c>
    </row>
    <row r="59" spans="1:5">
      <c r="A59" s="14" t="s">
        <v>121</v>
      </c>
      <c r="B59" s="14" t="s">
        <v>122</v>
      </c>
      <c r="C59" s="15" t="s">
        <v>7</v>
      </c>
      <c r="D59" s="5" t="s">
        <v>8</v>
      </c>
      <c r="E59">
        <f t="shared" si="0"/>
        <v>1680</v>
      </c>
    </row>
    <row r="60" spans="1:5">
      <c r="A60" s="14" t="s">
        <v>123</v>
      </c>
      <c r="B60" s="14" t="s">
        <v>124</v>
      </c>
      <c r="C60" s="15" t="s">
        <v>9</v>
      </c>
      <c r="D60" s="5" t="s">
        <v>8</v>
      </c>
      <c r="E60">
        <f t="shared" si="0"/>
        <v>1700</v>
      </c>
    </row>
    <row r="61" spans="1:5">
      <c r="A61" s="14" t="s">
        <v>125</v>
      </c>
      <c r="B61" s="14" t="s">
        <v>126</v>
      </c>
      <c r="C61" s="15" t="s">
        <v>11</v>
      </c>
      <c r="D61" s="5" t="s">
        <v>8</v>
      </c>
      <c r="E61">
        <f t="shared" si="0"/>
        <v>1720</v>
      </c>
    </row>
    <row r="62" spans="1:5">
      <c r="A62" s="11" t="s">
        <v>127</v>
      </c>
      <c r="B62" s="11" t="s">
        <v>128</v>
      </c>
      <c r="C62" s="12" t="s">
        <v>56</v>
      </c>
      <c r="D62" s="5" t="s">
        <v>8</v>
      </c>
      <c r="E62">
        <f t="shared" si="0"/>
        <v>1740</v>
      </c>
    </row>
    <row r="63" spans="1:5">
      <c r="A63" s="14" t="s">
        <v>129</v>
      </c>
      <c r="B63" s="14" t="s">
        <v>130</v>
      </c>
      <c r="C63" s="15" t="s">
        <v>9</v>
      </c>
      <c r="D63" s="5" t="s">
        <v>8</v>
      </c>
      <c r="E63">
        <f t="shared" si="0"/>
        <v>1760</v>
      </c>
    </row>
    <row r="64" spans="1:5">
      <c r="A64" s="11" t="s">
        <v>131</v>
      </c>
      <c r="B64" s="11" t="s">
        <v>132</v>
      </c>
      <c r="C64" s="12" t="s">
        <v>7</v>
      </c>
      <c r="D64" s="5" t="s">
        <v>8</v>
      </c>
      <c r="E64">
        <f t="shared" si="0"/>
        <v>1780</v>
      </c>
    </row>
    <row r="65" spans="1:5">
      <c r="A65" s="11" t="s">
        <v>133</v>
      </c>
      <c r="B65" s="11" t="s">
        <v>134</v>
      </c>
      <c r="C65" s="12" t="s">
        <v>11</v>
      </c>
      <c r="D65" s="5" t="s">
        <v>8</v>
      </c>
      <c r="E65">
        <f t="shared" si="0"/>
        <v>1800</v>
      </c>
    </row>
    <row r="66" spans="1:5">
      <c r="A66" s="14" t="s">
        <v>135</v>
      </c>
      <c r="B66" s="14" t="s">
        <v>136</v>
      </c>
      <c r="C66" s="15" t="s">
        <v>9</v>
      </c>
      <c r="D66" s="5" t="s">
        <v>8</v>
      </c>
      <c r="E66">
        <f t="shared" si="0"/>
        <v>1820</v>
      </c>
    </row>
    <row r="67" spans="1:5">
      <c r="A67" s="14" t="s">
        <v>137</v>
      </c>
      <c r="B67" s="14" t="s">
        <v>138</v>
      </c>
      <c r="C67" s="15" t="s">
        <v>7</v>
      </c>
      <c r="D67" s="5" t="s">
        <v>8</v>
      </c>
      <c r="E67">
        <f t="shared" si="0"/>
        <v>1840</v>
      </c>
    </row>
    <row r="68" spans="1:5">
      <c r="A68" s="14" t="s">
        <v>139</v>
      </c>
      <c r="B68" s="14" t="s">
        <v>140</v>
      </c>
      <c r="C68" s="15" t="s">
        <v>10</v>
      </c>
      <c r="D68" s="5" t="s">
        <v>8</v>
      </c>
      <c r="E68">
        <f t="shared" si="0"/>
        <v>1860</v>
      </c>
    </row>
    <row r="69" spans="1:5">
      <c r="A69" s="14" t="s">
        <v>141</v>
      </c>
      <c r="B69" s="14" t="s">
        <v>142</v>
      </c>
      <c r="C69" s="15" t="s">
        <v>7</v>
      </c>
      <c r="D69" s="5" t="s">
        <v>8</v>
      </c>
      <c r="E69">
        <f t="shared" si="0"/>
        <v>1880</v>
      </c>
    </row>
    <row r="70" spans="1:5">
      <c r="A70" s="11" t="s">
        <v>143</v>
      </c>
      <c r="B70" s="11" t="s">
        <v>144</v>
      </c>
      <c r="C70" s="12" t="s">
        <v>9</v>
      </c>
      <c r="D70" s="5" t="s">
        <v>8</v>
      </c>
      <c r="E70">
        <f t="shared" si="0"/>
        <v>1900</v>
      </c>
    </row>
    <row r="71" spans="1:5">
      <c r="A71" s="14" t="s">
        <v>145</v>
      </c>
      <c r="B71" s="14" t="s">
        <v>146</v>
      </c>
      <c r="C71" s="15" t="s">
        <v>7</v>
      </c>
      <c r="D71" s="5" t="s">
        <v>8</v>
      </c>
      <c r="E71">
        <f t="shared" si="0"/>
        <v>1920</v>
      </c>
    </row>
    <row r="72" spans="1:5">
      <c r="A72" s="11" t="s">
        <v>147</v>
      </c>
      <c r="B72" s="11" t="s">
        <v>148</v>
      </c>
      <c r="C72" s="12" t="s">
        <v>9</v>
      </c>
      <c r="D72" s="5" t="s">
        <v>8</v>
      </c>
      <c r="E72">
        <f t="shared" si="0"/>
        <v>1940</v>
      </c>
    </row>
    <row r="73" spans="1:5">
      <c r="A73" s="14" t="s">
        <v>149</v>
      </c>
      <c r="B73" s="14" t="s">
        <v>150</v>
      </c>
      <c r="C73" s="15" t="s">
        <v>7</v>
      </c>
      <c r="D73" s="5" t="s">
        <v>8</v>
      </c>
      <c r="E73">
        <f t="shared" si="0"/>
        <v>1960</v>
      </c>
    </row>
    <row r="74" spans="1:5">
      <c r="A74" s="18" t="s">
        <v>151</v>
      </c>
      <c r="B74" s="18" t="s">
        <v>152</v>
      </c>
      <c r="C74" s="19" t="s">
        <v>9</v>
      </c>
      <c r="D74" s="5" t="s">
        <v>8</v>
      </c>
      <c r="E74">
        <f t="shared" si="0"/>
        <v>1980</v>
      </c>
    </row>
    <row r="75" spans="1:5">
      <c r="A75" s="14" t="s">
        <v>153</v>
      </c>
      <c r="B75" s="14" t="s">
        <v>154</v>
      </c>
      <c r="C75" s="15" t="s">
        <v>7</v>
      </c>
      <c r="D75" s="5" t="s">
        <v>8</v>
      </c>
      <c r="E75">
        <f t="shared" si="0"/>
        <v>2000</v>
      </c>
    </row>
    <row r="76" spans="1:5">
      <c r="A76" s="11" t="s">
        <v>155</v>
      </c>
      <c r="B76" s="11" t="s">
        <v>156</v>
      </c>
      <c r="C76" s="12" t="s">
        <v>9</v>
      </c>
      <c r="D76" s="5" t="s">
        <v>8</v>
      </c>
      <c r="E76">
        <f t="shared" si="0"/>
        <v>2020</v>
      </c>
    </row>
    <row r="77" spans="1:5">
      <c r="A77" s="14" t="s">
        <v>157</v>
      </c>
      <c r="B77" s="14" t="s">
        <v>158</v>
      </c>
      <c r="C77" s="15" t="s">
        <v>7</v>
      </c>
      <c r="D77" s="5" t="s">
        <v>8</v>
      </c>
      <c r="E77">
        <f t="shared" si="0"/>
        <v>2040</v>
      </c>
    </row>
    <row r="78" spans="1:5">
      <c r="A78" s="11" t="s">
        <v>159</v>
      </c>
      <c r="B78" s="11" t="s">
        <v>160</v>
      </c>
      <c r="C78" s="12" t="s">
        <v>9</v>
      </c>
      <c r="D78" s="5" t="s">
        <v>8</v>
      </c>
      <c r="E78">
        <f t="shared" si="0"/>
        <v>2060</v>
      </c>
    </row>
    <row r="79" spans="1:5">
      <c r="A79" s="14" t="s">
        <v>161</v>
      </c>
      <c r="B79" s="14" t="s">
        <v>162</v>
      </c>
      <c r="C79" s="15" t="s">
        <v>9</v>
      </c>
      <c r="D79" s="5" t="s">
        <v>8</v>
      </c>
      <c r="E79">
        <f t="shared" si="0"/>
        <v>2080</v>
      </c>
    </row>
    <row r="80" spans="1:5">
      <c r="A80" s="14" t="s">
        <v>163</v>
      </c>
      <c r="B80" s="14" t="s">
        <v>164</v>
      </c>
      <c r="C80" s="15" t="s">
        <v>7</v>
      </c>
      <c r="D80" s="5" t="s">
        <v>8</v>
      </c>
      <c r="E80">
        <f t="shared" si="0"/>
        <v>2100</v>
      </c>
    </row>
    <row r="81" spans="1:5">
      <c r="A81" s="14" t="s">
        <v>165</v>
      </c>
      <c r="B81" s="14" t="s">
        <v>166</v>
      </c>
      <c r="C81" s="15" t="s">
        <v>56</v>
      </c>
      <c r="D81" s="5" t="s">
        <v>8</v>
      </c>
      <c r="E81">
        <f t="shared" si="0"/>
        <v>2120</v>
      </c>
    </row>
    <row r="82" spans="1:5">
      <c r="A82" s="11" t="s">
        <v>167</v>
      </c>
      <c r="B82" s="11" t="s">
        <v>168</v>
      </c>
      <c r="C82" s="12" t="s">
        <v>56</v>
      </c>
      <c r="D82" s="5" t="s">
        <v>8</v>
      </c>
      <c r="E82">
        <f t="shared" si="0"/>
        <v>2140</v>
      </c>
    </row>
    <row r="83" spans="1:5">
      <c r="A83" s="14" t="s">
        <v>169</v>
      </c>
      <c r="B83" s="14" t="s">
        <v>170</v>
      </c>
      <c r="C83" s="15" t="s">
        <v>56</v>
      </c>
      <c r="D83" s="5" t="s">
        <v>8</v>
      </c>
      <c r="E83">
        <f t="shared" si="0"/>
        <v>2160</v>
      </c>
    </row>
    <row r="84" spans="1:5">
      <c r="A84" s="14" t="s">
        <v>171</v>
      </c>
      <c r="B84" s="14" t="s">
        <v>172</v>
      </c>
      <c r="C84" s="15" t="s">
        <v>56</v>
      </c>
      <c r="D84" s="5" t="s">
        <v>8</v>
      </c>
      <c r="E84">
        <f t="shared" si="0"/>
        <v>2180</v>
      </c>
    </row>
    <row r="85" spans="1:5">
      <c r="A85" s="11" t="s">
        <v>173</v>
      </c>
      <c r="B85" s="11" t="s">
        <v>174</v>
      </c>
      <c r="C85" s="12" t="s">
        <v>11</v>
      </c>
      <c r="D85" s="5" t="s">
        <v>8</v>
      </c>
      <c r="E85">
        <f t="shared" si="0"/>
        <v>2200</v>
      </c>
    </row>
    <row r="86" spans="1:5">
      <c r="A86" s="11" t="s">
        <v>175</v>
      </c>
      <c r="B86" s="11" t="s">
        <v>176</v>
      </c>
      <c r="C86" s="12" t="s">
        <v>9</v>
      </c>
      <c r="D86" s="5" t="s">
        <v>8</v>
      </c>
      <c r="E86">
        <f t="shared" si="0"/>
        <v>2220</v>
      </c>
    </row>
    <row r="87" spans="1:5">
      <c r="A87" s="14" t="s">
        <v>177</v>
      </c>
      <c r="B87" s="14" t="s">
        <v>178</v>
      </c>
      <c r="C87" s="15" t="s">
        <v>9</v>
      </c>
      <c r="D87" s="5" t="s">
        <v>8</v>
      </c>
      <c r="E87">
        <f t="shared" si="0"/>
        <v>2240</v>
      </c>
    </row>
    <row r="88" spans="1:5">
      <c r="A88" s="14" t="s">
        <v>179</v>
      </c>
      <c r="B88" s="14" t="s">
        <v>180</v>
      </c>
      <c r="C88" s="15" t="s">
        <v>10</v>
      </c>
      <c r="D88" s="5" t="s">
        <v>8</v>
      </c>
      <c r="E88">
        <f t="shared" si="0"/>
        <v>2260</v>
      </c>
    </row>
    <row r="89" spans="1:5">
      <c r="A89" s="11" t="s">
        <v>181</v>
      </c>
      <c r="B89" s="11" t="s">
        <v>182</v>
      </c>
      <c r="C89" s="12" t="s">
        <v>7</v>
      </c>
      <c r="D89" s="5" t="s">
        <v>8</v>
      </c>
      <c r="E89">
        <f t="shared" si="0"/>
        <v>2280</v>
      </c>
    </row>
    <row r="90" spans="1:5">
      <c r="A90" s="14" t="s">
        <v>183</v>
      </c>
      <c r="B90" s="14" t="s">
        <v>184</v>
      </c>
      <c r="C90" s="15" t="s">
        <v>10</v>
      </c>
      <c r="D90" s="5" t="s">
        <v>8</v>
      </c>
      <c r="E90">
        <f t="shared" si="0"/>
        <v>2300</v>
      </c>
    </row>
    <row r="91" spans="1:5">
      <c r="A91" s="11" t="s">
        <v>185</v>
      </c>
      <c r="B91" s="11" t="s">
        <v>186</v>
      </c>
      <c r="C91" s="12" t="s">
        <v>9</v>
      </c>
      <c r="D91" s="5" t="s">
        <v>8</v>
      </c>
      <c r="E91">
        <f t="shared" ref="E91:E129" si="1">E90+20</f>
        <v>2320</v>
      </c>
    </row>
    <row r="92" spans="1:5">
      <c r="A92" s="11" t="s">
        <v>187</v>
      </c>
      <c r="B92" s="11" t="s">
        <v>188</v>
      </c>
      <c r="C92" s="12" t="s">
        <v>10</v>
      </c>
      <c r="D92" s="5" t="s">
        <v>8</v>
      </c>
      <c r="E92">
        <f t="shared" si="1"/>
        <v>2340</v>
      </c>
    </row>
    <row r="93" spans="1:5">
      <c r="A93" s="14" t="s">
        <v>189</v>
      </c>
      <c r="B93" s="14" t="s">
        <v>190</v>
      </c>
      <c r="C93" s="15" t="s">
        <v>7</v>
      </c>
      <c r="D93" s="5" t="s">
        <v>8</v>
      </c>
      <c r="E93">
        <f t="shared" si="1"/>
        <v>2360</v>
      </c>
    </row>
    <row r="94" spans="1:5">
      <c r="A94" s="11" t="s">
        <v>191</v>
      </c>
      <c r="B94" s="11" t="s">
        <v>192</v>
      </c>
      <c r="C94" s="12" t="s">
        <v>7</v>
      </c>
      <c r="D94" s="5" t="s">
        <v>8</v>
      </c>
      <c r="E94">
        <f t="shared" si="1"/>
        <v>2380</v>
      </c>
    </row>
    <row r="95" spans="1:5">
      <c r="A95" s="14" t="s">
        <v>193</v>
      </c>
      <c r="B95" s="14" t="s">
        <v>194</v>
      </c>
      <c r="C95" s="15" t="s">
        <v>56</v>
      </c>
      <c r="D95" s="5" t="s">
        <v>8</v>
      </c>
      <c r="E95">
        <f t="shared" si="1"/>
        <v>2400</v>
      </c>
    </row>
    <row r="96" spans="1:5">
      <c r="A96" s="14" t="s">
        <v>195</v>
      </c>
      <c r="B96" s="14" t="s">
        <v>196</v>
      </c>
      <c r="C96" s="15" t="s">
        <v>9</v>
      </c>
      <c r="D96" s="5" t="s">
        <v>8</v>
      </c>
      <c r="E96">
        <f t="shared" si="1"/>
        <v>2420</v>
      </c>
    </row>
    <row r="97" spans="1:5">
      <c r="A97" s="11" t="s">
        <v>197</v>
      </c>
      <c r="B97" s="11" t="s">
        <v>198</v>
      </c>
      <c r="C97" s="12" t="s">
        <v>9</v>
      </c>
      <c r="D97" s="5" t="s">
        <v>8</v>
      </c>
      <c r="E97">
        <f t="shared" si="1"/>
        <v>2440</v>
      </c>
    </row>
    <row r="98" spans="1:5">
      <c r="A98" s="14" t="s">
        <v>199</v>
      </c>
      <c r="B98" s="14" t="s">
        <v>200</v>
      </c>
      <c r="C98" s="15" t="s">
        <v>7</v>
      </c>
      <c r="D98" s="5" t="s">
        <v>8</v>
      </c>
      <c r="E98">
        <f t="shared" si="1"/>
        <v>2460</v>
      </c>
    </row>
    <row r="99" spans="1:5">
      <c r="A99" s="14" t="s">
        <v>201</v>
      </c>
      <c r="B99" s="14" t="s">
        <v>202</v>
      </c>
      <c r="C99" s="15" t="s">
        <v>7</v>
      </c>
      <c r="D99" s="5" t="s">
        <v>8</v>
      </c>
      <c r="E99">
        <f t="shared" si="1"/>
        <v>2480</v>
      </c>
    </row>
    <row r="100" spans="1:5">
      <c r="A100" s="11" t="s">
        <v>203</v>
      </c>
      <c r="B100" s="11" t="s">
        <v>204</v>
      </c>
      <c r="C100" s="12" t="s">
        <v>56</v>
      </c>
      <c r="D100" s="5" t="s">
        <v>8</v>
      </c>
      <c r="E100">
        <f t="shared" si="1"/>
        <v>2500</v>
      </c>
    </row>
    <row r="101" spans="1:5">
      <c r="A101" s="14" t="s">
        <v>205</v>
      </c>
      <c r="B101" s="14" t="s">
        <v>206</v>
      </c>
      <c r="C101" s="15" t="s">
        <v>11</v>
      </c>
      <c r="D101" s="5" t="s">
        <v>8</v>
      </c>
      <c r="E101">
        <f t="shared" si="1"/>
        <v>2520</v>
      </c>
    </row>
    <row r="102" spans="1:5">
      <c r="A102" s="11" t="s">
        <v>207</v>
      </c>
      <c r="B102" s="11" t="s">
        <v>208</v>
      </c>
      <c r="C102" s="12" t="s">
        <v>11</v>
      </c>
      <c r="D102" s="5" t="s">
        <v>8</v>
      </c>
      <c r="E102">
        <f t="shared" si="1"/>
        <v>2540</v>
      </c>
    </row>
    <row r="103" spans="1:5">
      <c r="A103" s="11" t="s">
        <v>209</v>
      </c>
      <c r="B103" s="11" t="s">
        <v>210</v>
      </c>
      <c r="C103" s="12" t="s">
        <v>9</v>
      </c>
      <c r="D103" s="5" t="s">
        <v>8</v>
      </c>
      <c r="E103">
        <f t="shared" si="1"/>
        <v>2560</v>
      </c>
    </row>
    <row r="104" spans="1:5">
      <c r="A104" s="14" t="s">
        <v>211</v>
      </c>
      <c r="B104" s="14" t="s">
        <v>212</v>
      </c>
      <c r="C104" s="15" t="s">
        <v>56</v>
      </c>
      <c r="D104" s="5" t="s">
        <v>8</v>
      </c>
      <c r="E104">
        <f t="shared" si="1"/>
        <v>2580</v>
      </c>
    </row>
    <row r="105" spans="1:5">
      <c r="A105" s="11" t="s">
        <v>213</v>
      </c>
      <c r="B105" s="11" t="s">
        <v>214</v>
      </c>
      <c r="C105" s="12" t="s">
        <v>9</v>
      </c>
      <c r="D105" s="5" t="s">
        <v>8</v>
      </c>
      <c r="E105">
        <f t="shared" si="1"/>
        <v>2600</v>
      </c>
    </row>
    <row r="106" spans="1:5">
      <c r="A106" s="11" t="s">
        <v>215</v>
      </c>
      <c r="B106" s="11" t="s">
        <v>216</v>
      </c>
      <c r="C106" s="12" t="s">
        <v>9</v>
      </c>
      <c r="D106" s="5" t="s">
        <v>8</v>
      </c>
      <c r="E106">
        <f t="shared" si="1"/>
        <v>2620</v>
      </c>
    </row>
    <row r="107" spans="1:5">
      <c r="A107" s="11" t="s">
        <v>217</v>
      </c>
      <c r="B107" s="11" t="s">
        <v>218</v>
      </c>
      <c r="C107" s="12" t="s">
        <v>7</v>
      </c>
      <c r="D107" s="5" t="s">
        <v>8</v>
      </c>
      <c r="E107">
        <f t="shared" si="1"/>
        <v>2640</v>
      </c>
    </row>
    <row r="108" spans="1:5">
      <c r="A108" s="11" t="s">
        <v>219</v>
      </c>
      <c r="B108" s="11" t="s">
        <v>220</v>
      </c>
      <c r="C108" s="12" t="s">
        <v>9</v>
      </c>
      <c r="D108" s="5" t="s">
        <v>8</v>
      </c>
      <c r="E108">
        <f t="shared" si="1"/>
        <v>2660</v>
      </c>
    </row>
    <row r="109" spans="1:5">
      <c r="A109" s="14" t="s">
        <v>221</v>
      </c>
      <c r="B109" s="14" t="s">
        <v>222</v>
      </c>
      <c r="C109" s="15" t="s">
        <v>7</v>
      </c>
      <c r="D109" s="5" t="s">
        <v>8</v>
      </c>
      <c r="E109">
        <f t="shared" si="1"/>
        <v>2680</v>
      </c>
    </row>
    <row r="110" spans="1:5">
      <c r="A110" s="14" t="s">
        <v>223</v>
      </c>
      <c r="B110" s="14" t="s">
        <v>224</v>
      </c>
      <c r="C110" s="15" t="s">
        <v>7</v>
      </c>
      <c r="D110" s="5" t="s">
        <v>8</v>
      </c>
      <c r="E110">
        <f t="shared" si="1"/>
        <v>2700</v>
      </c>
    </row>
    <row r="111" spans="1:5">
      <c r="A111" s="11" t="s">
        <v>225</v>
      </c>
      <c r="B111" s="11" t="s">
        <v>226</v>
      </c>
      <c r="C111" s="12" t="s">
        <v>22</v>
      </c>
      <c r="D111" s="5" t="s">
        <v>8</v>
      </c>
      <c r="E111">
        <f t="shared" si="1"/>
        <v>2720</v>
      </c>
    </row>
    <row r="112" spans="1:5">
      <c r="A112" s="11" t="s">
        <v>227</v>
      </c>
      <c r="B112" s="11" t="s">
        <v>228</v>
      </c>
      <c r="C112" s="12" t="s">
        <v>7</v>
      </c>
      <c r="D112" s="5" t="s">
        <v>8</v>
      </c>
      <c r="E112">
        <f t="shared" si="1"/>
        <v>2740</v>
      </c>
    </row>
    <row r="113" spans="1:5">
      <c r="A113" s="11" t="s">
        <v>229</v>
      </c>
      <c r="B113" s="11" t="s">
        <v>230</v>
      </c>
      <c r="C113" s="12" t="s">
        <v>9</v>
      </c>
      <c r="D113" s="5" t="s">
        <v>8</v>
      </c>
      <c r="E113">
        <f t="shared" si="1"/>
        <v>2760</v>
      </c>
    </row>
    <row r="114" spans="1:5">
      <c r="A114" s="14" t="s">
        <v>231</v>
      </c>
      <c r="B114" s="14" t="s">
        <v>232</v>
      </c>
      <c r="C114" s="15" t="s">
        <v>9</v>
      </c>
      <c r="D114" s="5" t="s">
        <v>8</v>
      </c>
      <c r="E114">
        <f t="shared" si="1"/>
        <v>2780</v>
      </c>
    </row>
    <row r="115" spans="1:5">
      <c r="A115" s="11" t="s">
        <v>233</v>
      </c>
      <c r="B115" s="11" t="s">
        <v>234</v>
      </c>
      <c r="C115" s="12" t="s">
        <v>10</v>
      </c>
      <c r="D115" s="5" t="s">
        <v>8</v>
      </c>
      <c r="E115">
        <f t="shared" si="1"/>
        <v>2800</v>
      </c>
    </row>
    <row r="116" spans="1:5">
      <c r="A116" s="14" t="s">
        <v>235</v>
      </c>
      <c r="B116" s="14" t="s">
        <v>236</v>
      </c>
      <c r="C116" s="15" t="s">
        <v>11</v>
      </c>
      <c r="D116" s="5" t="s">
        <v>8</v>
      </c>
      <c r="E116">
        <f t="shared" si="1"/>
        <v>2820</v>
      </c>
    </row>
    <row r="117" spans="1:5">
      <c r="A117" s="14" t="s">
        <v>237</v>
      </c>
      <c r="B117" s="14" t="s">
        <v>238</v>
      </c>
      <c r="C117" s="15" t="s">
        <v>9</v>
      </c>
      <c r="D117" s="5" t="s">
        <v>8</v>
      </c>
      <c r="E117">
        <f t="shared" si="1"/>
        <v>2840</v>
      </c>
    </row>
    <row r="118" spans="1:5">
      <c r="A118" s="11" t="s">
        <v>239</v>
      </c>
      <c r="B118" s="11" t="s">
        <v>240</v>
      </c>
      <c r="C118" s="12" t="s">
        <v>9</v>
      </c>
      <c r="D118" s="5" t="s">
        <v>8</v>
      </c>
      <c r="E118">
        <f t="shared" si="1"/>
        <v>2860</v>
      </c>
    </row>
    <row r="119" spans="1:5">
      <c r="A119" s="11" t="s">
        <v>241</v>
      </c>
      <c r="B119" s="11" t="s">
        <v>242</v>
      </c>
      <c r="C119" s="12" t="s">
        <v>9</v>
      </c>
      <c r="D119" s="5" t="s">
        <v>8</v>
      </c>
      <c r="E119">
        <f t="shared" si="1"/>
        <v>2880</v>
      </c>
    </row>
    <row r="120" spans="1:5">
      <c r="A120" s="14" t="s">
        <v>243</v>
      </c>
      <c r="B120" s="14" t="s">
        <v>244</v>
      </c>
      <c r="C120" s="15" t="s">
        <v>7</v>
      </c>
      <c r="D120" s="5" t="s">
        <v>8</v>
      </c>
      <c r="E120">
        <f t="shared" si="1"/>
        <v>2900</v>
      </c>
    </row>
    <row r="121" spans="1:5">
      <c r="A121" s="14" t="s">
        <v>245</v>
      </c>
      <c r="B121" s="14" t="s">
        <v>246</v>
      </c>
      <c r="C121" s="15" t="s">
        <v>7</v>
      </c>
      <c r="D121" s="5" t="s">
        <v>8</v>
      </c>
      <c r="E121">
        <f t="shared" si="1"/>
        <v>2920</v>
      </c>
    </row>
    <row r="122" spans="1:5">
      <c r="A122" s="11" t="s">
        <v>247</v>
      </c>
      <c r="B122" s="11" t="s">
        <v>248</v>
      </c>
      <c r="C122" s="12" t="s">
        <v>7</v>
      </c>
      <c r="D122" s="5" t="s">
        <v>8</v>
      </c>
      <c r="E122">
        <f t="shared" si="1"/>
        <v>2940</v>
      </c>
    </row>
    <row r="123" spans="1:5">
      <c r="A123" s="14" t="s">
        <v>249</v>
      </c>
      <c r="B123" s="14" t="s">
        <v>250</v>
      </c>
      <c r="C123" s="15" t="s">
        <v>7</v>
      </c>
      <c r="D123" s="5" t="s">
        <v>8</v>
      </c>
      <c r="E123">
        <f t="shared" si="1"/>
        <v>2960</v>
      </c>
    </row>
    <row r="124" spans="1:5">
      <c r="A124" s="14" t="s">
        <v>251</v>
      </c>
      <c r="B124" s="14" t="s">
        <v>252</v>
      </c>
      <c r="C124" s="15" t="s">
        <v>9</v>
      </c>
      <c r="D124" s="5" t="s">
        <v>8</v>
      </c>
      <c r="E124">
        <f t="shared" si="1"/>
        <v>2980</v>
      </c>
    </row>
    <row r="125" spans="1:5">
      <c r="A125" s="14" t="s">
        <v>253</v>
      </c>
      <c r="B125" s="14" t="s">
        <v>254</v>
      </c>
      <c r="C125" s="15" t="s">
        <v>9</v>
      </c>
      <c r="D125" s="5" t="s">
        <v>8</v>
      </c>
      <c r="E125">
        <f t="shared" si="1"/>
        <v>3000</v>
      </c>
    </row>
    <row r="126" spans="1:5">
      <c r="A126" s="14" t="s">
        <v>255</v>
      </c>
      <c r="B126" s="14" t="s">
        <v>256</v>
      </c>
      <c r="C126" s="15" t="s">
        <v>10</v>
      </c>
      <c r="D126" s="5" t="s">
        <v>8</v>
      </c>
      <c r="E126">
        <f t="shared" si="1"/>
        <v>3020</v>
      </c>
    </row>
    <row r="127" spans="1:5">
      <c r="A127" s="14" t="s">
        <v>257</v>
      </c>
      <c r="B127" s="14" t="s">
        <v>258</v>
      </c>
      <c r="C127" s="15" t="s">
        <v>7</v>
      </c>
      <c r="D127" s="5" t="s">
        <v>8</v>
      </c>
      <c r="E127">
        <f t="shared" si="1"/>
        <v>3040</v>
      </c>
    </row>
    <row r="128" spans="1:5">
      <c r="A128" s="14" t="s">
        <v>259</v>
      </c>
      <c r="B128" s="14" t="s">
        <v>260</v>
      </c>
      <c r="C128" s="15" t="s">
        <v>7</v>
      </c>
      <c r="D128" s="5" t="s">
        <v>8</v>
      </c>
      <c r="E128">
        <f t="shared" si="1"/>
        <v>3060</v>
      </c>
    </row>
    <row r="129" spans="1:5">
      <c r="A129" s="14" t="s">
        <v>261</v>
      </c>
      <c r="B129" s="14" t="s">
        <v>262</v>
      </c>
      <c r="C129" s="15" t="s">
        <v>11</v>
      </c>
      <c r="D129" s="5" t="s">
        <v>8</v>
      </c>
      <c r="E129">
        <f t="shared" si="1"/>
        <v>3080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Оборин</cp:lastModifiedBy>
  <dcterms:modified xsi:type="dcterms:W3CDTF">2026-07-27T21:56:25Z</dcterms:modified>
</cp:coreProperties>
</file>